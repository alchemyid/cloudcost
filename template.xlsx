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girirahayu/Documents/cloud_pricing/"/>
    </mc:Choice>
  </mc:AlternateContent>
  <xr:revisionPtr revIDLastSave="0" documentId="13_ncr:1_{536B071E-53D2-F343-9200-1248640B0AA9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Sheet1" sheetId="1" r:id="rId1"/>
  </sheets>
  <definedNames>
    <definedName name="template" localSheetId="0">Sheet1!$A$1:$K$17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9" i="1"/>
  <c r="H28" i="1"/>
  <c r="F28" i="1"/>
  <c r="H27" i="1"/>
  <c r="H26" i="1"/>
  <c r="H25" i="1"/>
  <c r="H24" i="1"/>
  <c r="H23" i="1"/>
  <c r="H22" i="1"/>
  <c r="H21" i="1"/>
  <c r="H20" i="1"/>
  <c r="F20" i="1"/>
  <c r="H19" i="1"/>
  <c r="F19" i="1"/>
  <c r="H18" i="1"/>
  <c r="H13" i="1"/>
  <c r="H12" i="1"/>
  <c r="H11" i="1"/>
  <c r="H10" i="1"/>
  <c r="H9" i="1"/>
  <c r="H8" i="1"/>
  <c r="H7" i="1"/>
  <c r="H6" i="1"/>
  <c r="H5" i="1"/>
  <c r="H4" i="1"/>
  <c r="H3" i="1"/>
  <c r="H2" i="1"/>
  <c r="F11" i="1"/>
  <c r="F3" i="1"/>
  <c r="F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3D2388B-302F-1B48-B4A4-B04C0042F818}" name="template" type="6" refreshedVersion="8" background="1" saveData="1">
    <textPr sourceFile="/Users/girirahayu/Documents/cloud_pricing/template.csv" decimal="," thousands=".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<sst xmlns="http://schemas.openxmlformats.org/spreadsheetml/2006/main" count="130" uniqueCount="54">
  <si>
    <t>id</t>
  </si>
  <si>
    <t>service</t>
  </si>
  <si>
    <t>region</t>
  </si>
  <si>
    <t>type</t>
  </si>
  <si>
    <t>vcpu</t>
  </si>
  <si>
    <t>memory_gb</t>
  </si>
  <si>
    <t>os_or_engine</t>
  </si>
  <si>
    <t>size_gb</t>
  </si>
  <si>
    <t>quantity</t>
  </si>
  <si>
    <t>hours_per_month</t>
  </si>
  <si>
    <t>description</t>
  </si>
  <si>
    <t>ec2</t>
  </si>
  <si>
    <t>ap-southeast-3</t>
  </si>
  <si>
    <t>data_transfer</t>
  </si>
  <si>
    <t>drs</t>
  </si>
  <si>
    <t>nat</t>
  </si>
  <si>
    <t>vpn</t>
  </si>
  <si>
    <t>vm-app-clinic-emrqas</t>
  </si>
  <si>
    <t>vm-app-hse-nembayudev</t>
  </si>
  <si>
    <t>vm-app-iams-teammatedev</t>
  </si>
  <si>
    <t>vm-app-wmsqas</t>
  </si>
  <si>
    <t>vm-db-emr-proxyqas</t>
  </si>
  <si>
    <t>vm-db-emrqas-1</t>
  </si>
  <si>
    <t>vm-db-emrqas-2</t>
  </si>
  <si>
    <t>vm-db-hse-nembayudev</t>
  </si>
  <si>
    <t>vm-db-iams-teammatedev</t>
  </si>
  <si>
    <t>vm-db-wmsqas</t>
  </si>
  <si>
    <t>vm-infr-remotegw-nx</t>
  </si>
  <si>
    <t>vm-infr-xti-dc-dr</t>
  </si>
  <si>
    <t>nat-gateway</t>
  </si>
  <si>
    <t>vpn-site-to-site</t>
  </si>
  <si>
    <t>Ubuntu Linux (64-bit)</t>
  </si>
  <si>
    <t>Microsoft Windows Server 2022 (64-bit)</t>
  </si>
  <si>
    <t>alb</t>
  </si>
  <si>
    <t>data-transfer-internet</t>
  </si>
  <si>
    <t>drill-vm-app-clinic-emrqas</t>
  </si>
  <si>
    <t>drill-vm-app-hse-nembayudev</t>
  </si>
  <si>
    <t>drill-vm-app-iams-teammatedev</t>
  </si>
  <si>
    <t>drill-vm-app-wmsqas</t>
  </si>
  <si>
    <t>dril-vm-db-emr-proxyqas</t>
  </si>
  <si>
    <t>drill-vm-db-emrqas-1</t>
  </si>
  <si>
    <t>drill-vm-db-emrqas-2</t>
  </si>
  <si>
    <t>drill-vm-db-hse-nembayudev</t>
  </si>
  <si>
    <t>drill-vm-db-iams-teammatedev</t>
  </si>
  <si>
    <t>drill-vm-db-wmsqas</t>
  </si>
  <si>
    <t>drill-vm-infr-remotegw-nx</t>
  </si>
  <si>
    <t>drill-vm-infr-xti-dc-dr</t>
  </si>
  <si>
    <t>drs_drill</t>
  </si>
  <si>
    <t>vm-backup</t>
  </si>
  <si>
    <t>backup</t>
  </si>
  <si>
    <t>3-retention-5%</t>
  </si>
  <si>
    <t>ip-pub-nat-gw</t>
  </si>
  <si>
    <t>eip</t>
  </si>
  <si>
    <t>in-use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</si>
</sst>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9"/>
      <color rgb="FF000000"/>
      <name val="Verdana"/>
      <family val="2"/>
    </font>
    <font>
      <sz val="8"/>
      <name val="Calibri"/>
      <family val="2"/>
      <scheme val="minor"/>
    </font>
    <font>
      <sz val="9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3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mplate" connectionId="1" xr16:uid="{A0399077-6FE6-2A45-9251-E80473B2AD9B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tabSelected="1" zoomScale="120" zoomScaleNormal="120" workbookViewId="0">
      <selection activeCell="C15" sqref="C15"/>
    </sheetView>
  </sheetViews>
  <sheetFormatPr baseColWidth="10" defaultColWidth="8.83203125" defaultRowHeight="15" x14ac:dyDescent="0.2"/>
  <cols>
    <col min="1" max="1" width="31.6640625" customWidth="1"/>
    <col min="2" max="2" width="11.1640625" bestFit="1" customWidth="1"/>
    <col min="3" max="3" width="13" customWidth="1"/>
    <col min="4" max="4" width="12.6640625" bestFit="1" customWidth="1"/>
    <col min="5" max="5" width="4.83203125" bestFit="1" customWidth="1"/>
    <col min="6" max="6" width="10.5" customWidth="1"/>
    <col min="7" max="7" width="32.1640625" bestFit="1" customWidth="1"/>
    <col min="8" max="8" width="10.33203125" customWidth="1"/>
    <col min="9" max="9" width="12.1640625" customWidth="1"/>
    <col min="10" max="10" width="19.83203125" customWidth="1"/>
    <col min="11" max="11" width="55.66406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 s="1" t="s">
        <v>17</v>
      </c>
      <c r="B2" t="s">
        <v>11</v>
      </c>
      <c r="C2" t="s">
        <v>12</v>
      </c>
      <c r="E2" s="2">
        <v>4</v>
      </c>
      <c r="F2" s="3">
        <f>4096/1024</f>
        <v>4</v>
      </c>
      <c r="G2" s="1" t="s">
        <v>31</v>
      </c>
      <c r="H2" s="3">
        <f>225400/1024</f>
        <v>220.1171875</v>
      </c>
      <c r="I2">
        <v>1</v>
      </c>
      <c r="J2">
        <v>730</v>
      </c>
    </row>
    <row r="3" spans="1:11" x14ac:dyDescent="0.2">
      <c r="A3" s="1" t="s">
        <v>18</v>
      </c>
      <c r="B3" t="s">
        <v>11</v>
      </c>
      <c r="C3" t="s">
        <v>12</v>
      </c>
      <c r="E3" s="4">
        <v>4</v>
      </c>
      <c r="F3" s="3">
        <f>8192/1024</f>
        <v>8</v>
      </c>
      <c r="G3" s="1" t="s">
        <v>32</v>
      </c>
      <c r="H3" s="3">
        <f>92370/1024</f>
        <v>90.205078125</v>
      </c>
      <c r="I3">
        <v>1</v>
      </c>
      <c r="J3">
        <v>730</v>
      </c>
    </row>
    <row r="4" spans="1:11" x14ac:dyDescent="0.2">
      <c r="A4" s="1" t="s">
        <v>19</v>
      </c>
      <c r="B4" t="s">
        <v>11</v>
      </c>
      <c r="C4" t="s">
        <v>12</v>
      </c>
      <c r="E4" s="4">
        <v>4</v>
      </c>
      <c r="F4" s="3">
        <v>16</v>
      </c>
      <c r="G4" s="1" t="s">
        <v>32</v>
      </c>
      <c r="H4" s="3">
        <f>51438/1024</f>
        <v>50.232421875</v>
      </c>
      <c r="I4">
        <v>1</v>
      </c>
      <c r="J4">
        <v>730</v>
      </c>
    </row>
    <row r="5" spans="1:11" x14ac:dyDescent="0.2">
      <c r="A5" s="1" t="s">
        <v>20</v>
      </c>
      <c r="B5" t="s">
        <v>11</v>
      </c>
      <c r="C5" t="s">
        <v>12</v>
      </c>
      <c r="E5" s="4">
        <v>8</v>
      </c>
      <c r="F5" s="3">
        <v>16</v>
      </c>
      <c r="G5" s="1" t="s">
        <v>32</v>
      </c>
      <c r="H5" s="3">
        <f>182537/1024</f>
        <v>178.2587890625</v>
      </c>
      <c r="I5">
        <v>1</v>
      </c>
      <c r="J5">
        <v>730</v>
      </c>
    </row>
    <row r="6" spans="1:11" x14ac:dyDescent="0.2">
      <c r="A6" s="1" t="s">
        <v>21</v>
      </c>
      <c r="B6" t="s">
        <v>11</v>
      </c>
      <c r="C6" t="s">
        <v>12</v>
      </c>
      <c r="E6" s="2">
        <v>2</v>
      </c>
      <c r="F6" s="3">
        <v>2</v>
      </c>
      <c r="G6" s="1" t="s">
        <v>31</v>
      </c>
      <c r="H6" s="3">
        <f>122999/1024</f>
        <v>120.1162109375</v>
      </c>
      <c r="I6">
        <v>1</v>
      </c>
      <c r="J6">
        <v>730</v>
      </c>
    </row>
    <row r="7" spans="1:11" x14ac:dyDescent="0.2">
      <c r="A7" s="1" t="s">
        <v>22</v>
      </c>
      <c r="B7" t="s">
        <v>11</v>
      </c>
      <c r="C7" t="s">
        <v>12</v>
      </c>
      <c r="E7" s="2">
        <v>4</v>
      </c>
      <c r="F7" s="3">
        <v>4</v>
      </c>
      <c r="G7" s="1" t="s">
        <v>31</v>
      </c>
      <c r="H7" s="3">
        <f>225399/1024</f>
        <v>220.1162109375</v>
      </c>
      <c r="I7">
        <v>1</v>
      </c>
      <c r="J7">
        <v>730</v>
      </c>
    </row>
    <row r="8" spans="1:11" x14ac:dyDescent="0.2">
      <c r="A8" s="1" t="s">
        <v>23</v>
      </c>
      <c r="B8" t="s">
        <v>11</v>
      </c>
      <c r="C8" t="s">
        <v>12</v>
      </c>
      <c r="E8" s="2">
        <v>4</v>
      </c>
      <c r="F8" s="3">
        <v>4</v>
      </c>
      <c r="G8" s="1" t="s">
        <v>31</v>
      </c>
      <c r="H8" s="3">
        <f>225382/1024</f>
        <v>220.099609375</v>
      </c>
      <c r="I8">
        <v>1</v>
      </c>
      <c r="J8">
        <v>730</v>
      </c>
    </row>
    <row r="9" spans="1:11" x14ac:dyDescent="0.2">
      <c r="A9" s="1" t="s">
        <v>24</v>
      </c>
      <c r="B9" t="s">
        <v>11</v>
      </c>
      <c r="C9" t="s">
        <v>12</v>
      </c>
      <c r="E9" s="4">
        <v>4</v>
      </c>
      <c r="F9" s="3">
        <v>8</v>
      </c>
      <c r="G9" s="1" t="s">
        <v>32</v>
      </c>
      <c r="H9" s="3">
        <f>92359/1024</f>
        <v>90.1943359375</v>
      </c>
      <c r="I9">
        <v>1</v>
      </c>
      <c r="J9">
        <v>730</v>
      </c>
    </row>
    <row r="10" spans="1:11" x14ac:dyDescent="0.2">
      <c r="A10" s="1" t="s">
        <v>25</v>
      </c>
      <c r="B10" t="s">
        <v>11</v>
      </c>
      <c r="C10" t="s">
        <v>12</v>
      </c>
      <c r="E10" s="4">
        <v>4</v>
      </c>
      <c r="F10" s="3">
        <v>16</v>
      </c>
      <c r="G10" s="1" t="s">
        <v>32</v>
      </c>
      <c r="H10" s="3">
        <f>205038/1024</f>
        <v>200.232421875</v>
      </c>
      <c r="I10">
        <v>1</v>
      </c>
      <c r="J10">
        <v>730</v>
      </c>
    </row>
    <row r="11" spans="1:11" x14ac:dyDescent="0.2">
      <c r="A11" s="1" t="s">
        <v>26</v>
      </c>
      <c r="B11" t="s">
        <v>11</v>
      </c>
      <c r="C11" t="s">
        <v>12</v>
      </c>
      <c r="E11" s="2">
        <v>8</v>
      </c>
      <c r="F11" s="3">
        <f>32768/1024</f>
        <v>32</v>
      </c>
      <c r="G11" s="1" t="s">
        <v>31</v>
      </c>
      <c r="H11" s="3">
        <f>524556/1024</f>
        <v>512.26171875</v>
      </c>
      <c r="I11">
        <v>1</v>
      </c>
      <c r="J11">
        <v>730</v>
      </c>
    </row>
    <row r="12" spans="1:11" x14ac:dyDescent="0.2">
      <c r="A12" s="1" t="s">
        <v>27</v>
      </c>
      <c r="B12" t="s">
        <v>11</v>
      </c>
      <c r="C12" t="s">
        <v>12</v>
      </c>
      <c r="E12" s="2">
        <v>8</v>
      </c>
      <c r="F12" s="3">
        <v>16</v>
      </c>
      <c r="G12" s="1" t="s">
        <v>31</v>
      </c>
      <c r="H12" s="3">
        <f>41222/1024</f>
        <v>40.255859375</v>
      </c>
      <c r="I12">
        <v>1</v>
      </c>
      <c r="J12">
        <v>730</v>
      </c>
    </row>
    <row r="13" spans="1:11" x14ac:dyDescent="0.2">
      <c r="A13" s="1" t="s">
        <v>28</v>
      </c>
      <c r="B13" t="s">
        <v>11</v>
      </c>
      <c r="C13" t="s">
        <v>12</v>
      </c>
      <c r="E13" s="2">
        <v>2</v>
      </c>
      <c r="F13" s="3">
        <v>4</v>
      </c>
      <c r="G13" s="1" t="s">
        <v>32</v>
      </c>
      <c r="H13" s="3">
        <f>154191/1024</f>
        <v>150.5771484375</v>
      </c>
      <c r="I13">
        <v>1</v>
      </c>
      <c r="J13">
        <v>730</v>
      </c>
    </row>
    <row r="14" spans="1:11" x14ac:dyDescent="0.2">
      <c r="A14" t="s">
        <v>29</v>
      </c>
      <c r="B14" t="s">
        <v>15</v>
      </c>
      <c r="C14" t="s">
        <v>12</v>
      </c>
      <c r="H14">
        <v>1000</v>
      </c>
      <c r="I14">
        <v>1</v>
      </c>
      <c r="J14">
        <v>730</v>
      </c>
    </row>
    <row r="15" spans="1:11" x14ac:dyDescent="0.2">
      <c r="A15" s="1" t="s">
        <v>51</v>
      </c>
      <c r="B15" t="s">
        <v>52</v>
      </c>
      <c r="C15" t="s">
        <v>12</v>
      </c>
      <c r="D15" t="s">
        <v>53</v>
      </c>
      <c r="I15">
        <v>1</v>
      </c>
      <c r="J15">
        <v>730</v>
      </c>
    </row>
    <row r="16" spans="1:11" x14ac:dyDescent="0.2">
      <c r="A16" t="s">
        <v>30</v>
      </c>
      <c r="B16" t="s">
        <v>16</v>
      </c>
      <c r="C16" t="s">
        <v>12</v>
      </c>
      <c r="H16" s="6">
        <v>1000</v>
      </c>
      <c r="I16">
        <v>1</v>
      </c>
      <c r="J16">
        <v>730</v>
      </c>
    </row>
    <row r="17" spans="1:10" x14ac:dyDescent="0.2">
      <c r="A17" t="s">
        <v>34</v>
      </c>
      <c r="B17" t="s">
        <v>13</v>
      </c>
      <c r="C17" t="s">
        <v>12</v>
      </c>
      <c r="H17">
        <v>1000</v>
      </c>
      <c r="I17">
        <v>1</v>
      </c>
      <c r="J17">
        <v>730</v>
      </c>
    </row>
    <row r="18" spans="1:10" x14ac:dyDescent="0.2">
      <c r="A18" t="s">
        <v>14</v>
      </c>
      <c r="B18" t="s">
        <v>14</v>
      </c>
      <c r="C18" t="s">
        <v>12</v>
      </c>
      <c r="H18" s="5">
        <f>SUM(H2:H13)/I18</f>
        <v>174.388916015625</v>
      </c>
      <c r="I18">
        <v>12</v>
      </c>
      <c r="J18">
        <v>730</v>
      </c>
    </row>
    <row r="19" spans="1:10" x14ac:dyDescent="0.2">
      <c r="A19" s="1" t="s">
        <v>35</v>
      </c>
      <c r="B19" t="s">
        <v>47</v>
      </c>
      <c r="C19" t="s">
        <v>12</v>
      </c>
      <c r="E19" s="2">
        <v>4</v>
      </c>
      <c r="F19" s="3">
        <f>4096/1024</f>
        <v>4</v>
      </c>
      <c r="G19" s="1" t="s">
        <v>31</v>
      </c>
      <c r="H19" s="3">
        <f>225400/1024</f>
        <v>220.1171875</v>
      </c>
      <c r="I19">
        <v>1</v>
      </c>
      <c r="J19">
        <v>3</v>
      </c>
    </row>
    <row r="20" spans="1:10" x14ac:dyDescent="0.2">
      <c r="A20" s="1" t="s">
        <v>36</v>
      </c>
      <c r="B20" t="s">
        <v>47</v>
      </c>
      <c r="C20" t="s">
        <v>12</v>
      </c>
      <c r="E20" s="4">
        <v>4</v>
      </c>
      <c r="F20" s="3">
        <f>8192/1024</f>
        <v>8</v>
      </c>
      <c r="G20" s="1" t="s">
        <v>32</v>
      </c>
      <c r="H20" s="3">
        <f>92370/1024</f>
        <v>90.205078125</v>
      </c>
      <c r="I20">
        <v>1</v>
      </c>
      <c r="J20">
        <v>3</v>
      </c>
    </row>
    <row r="21" spans="1:10" x14ac:dyDescent="0.2">
      <c r="A21" s="1" t="s">
        <v>37</v>
      </c>
      <c r="B21" t="s">
        <v>47</v>
      </c>
      <c r="C21" t="s">
        <v>12</v>
      </c>
      <c r="E21" s="4">
        <v>4</v>
      </c>
      <c r="F21" s="3">
        <v>16</v>
      </c>
      <c r="G21" s="1" t="s">
        <v>32</v>
      </c>
      <c r="H21" s="3">
        <f>51438/1024</f>
        <v>50.232421875</v>
      </c>
      <c r="I21">
        <v>1</v>
      </c>
      <c r="J21">
        <v>3</v>
      </c>
    </row>
    <row r="22" spans="1:10" x14ac:dyDescent="0.2">
      <c r="A22" s="1" t="s">
        <v>38</v>
      </c>
      <c r="B22" t="s">
        <v>47</v>
      </c>
      <c r="C22" t="s">
        <v>12</v>
      </c>
      <c r="E22" s="4">
        <v>8</v>
      </c>
      <c r="F22" s="3">
        <v>16</v>
      </c>
      <c r="G22" s="1" t="s">
        <v>32</v>
      </c>
      <c r="H22" s="3">
        <f>182537/1024</f>
        <v>178.2587890625</v>
      </c>
      <c r="I22">
        <v>1</v>
      </c>
      <c r="J22">
        <v>3</v>
      </c>
    </row>
    <row r="23" spans="1:10" x14ac:dyDescent="0.2">
      <c r="A23" s="1" t="s">
        <v>39</v>
      </c>
      <c r="B23" t="s">
        <v>47</v>
      </c>
      <c r="C23" t="s">
        <v>12</v>
      </c>
      <c r="E23" s="2">
        <v>2</v>
      </c>
      <c r="F23" s="3">
        <v>2</v>
      </c>
      <c r="G23" s="1" t="s">
        <v>31</v>
      </c>
      <c r="H23" s="3">
        <f>122999/1024</f>
        <v>120.1162109375</v>
      </c>
      <c r="I23">
        <v>1</v>
      </c>
      <c r="J23">
        <v>3</v>
      </c>
    </row>
    <row r="24" spans="1:10" x14ac:dyDescent="0.2">
      <c r="A24" s="1" t="s">
        <v>40</v>
      </c>
      <c r="B24" t="s">
        <v>47</v>
      </c>
      <c r="C24" t="s">
        <v>12</v>
      </c>
      <c r="E24" s="2">
        <v>4</v>
      </c>
      <c r="F24" s="3">
        <v>4</v>
      </c>
      <c r="G24" s="1" t="s">
        <v>31</v>
      </c>
      <c r="H24" s="3">
        <f>225399/1024</f>
        <v>220.1162109375</v>
      </c>
      <c r="I24">
        <v>1</v>
      </c>
      <c r="J24">
        <v>3</v>
      </c>
    </row>
    <row r="25" spans="1:10" x14ac:dyDescent="0.2">
      <c r="A25" s="1" t="s">
        <v>41</v>
      </c>
      <c r="B25" t="s">
        <v>47</v>
      </c>
      <c r="C25" t="s">
        <v>12</v>
      </c>
      <c r="E25" s="2">
        <v>4</v>
      </c>
      <c r="F25" s="3">
        <v>4</v>
      </c>
      <c r="G25" s="1" t="s">
        <v>31</v>
      </c>
      <c r="H25" s="3">
        <f>225382/1024</f>
        <v>220.099609375</v>
      </c>
      <c r="I25">
        <v>1</v>
      </c>
      <c r="J25">
        <v>3</v>
      </c>
    </row>
    <row r="26" spans="1:10" x14ac:dyDescent="0.2">
      <c r="A26" s="1" t="s">
        <v>42</v>
      </c>
      <c r="B26" t="s">
        <v>47</v>
      </c>
      <c r="C26" t="s">
        <v>12</v>
      </c>
      <c r="E26" s="4">
        <v>4</v>
      </c>
      <c r="F26" s="3">
        <v>8</v>
      </c>
      <c r="G26" s="1" t="s">
        <v>32</v>
      </c>
      <c r="H26" s="3">
        <f>92359/1024</f>
        <v>90.1943359375</v>
      </c>
      <c r="I26">
        <v>1</v>
      </c>
      <c r="J26">
        <v>3</v>
      </c>
    </row>
    <row r="27" spans="1:10" x14ac:dyDescent="0.2">
      <c r="A27" s="1" t="s">
        <v>43</v>
      </c>
      <c r="B27" t="s">
        <v>47</v>
      </c>
      <c r="C27" t="s">
        <v>12</v>
      </c>
      <c r="E27" s="4">
        <v>4</v>
      </c>
      <c r="F27" s="3">
        <v>16</v>
      </c>
      <c r="G27" s="1" t="s">
        <v>32</v>
      </c>
      <c r="H27" s="3">
        <f>205038/1024</f>
        <v>200.232421875</v>
      </c>
      <c r="I27">
        <v>1</v>
      </c>
      <c r="J27">
        <v>3</v>
      </c>
    </row>
    <row r="28" spans="1:10" x14ac:dyDescent="0.2">
      <c r="A28" s="1" t="s">
        <v>44</v>
      </c>
      <c r="B28" t="s">
        <v>47</v>
      </c>
      <c r="C28" t="s">
        <v>12</v>
      </c>
      <c r="E28" s="2">
        <v>8</v>
      </c>
      <c r="F28" s="3">
        <f>32768/1024</f>
        <v>32</v>
      </c>
      <c r="G28" s="1" t="s">
        <v>31</v>
      </c>
      <c r="H28" s="3">
        <f>524556/1024</f>
        <v>512.26171875</v>
      </c>
      <c r="I28">
        <v>1</v>
      </c>
      <c r="J28">
        <v>3</v>
      </c>
    </row>
    <row r="29" spans="1:10" x14ac:dyDescent="0.2">
      <c r="A29" s="1" t="s">
        <v>45</v>
      </c>
      <c r="B29" t="s">
        <v>47</v>
      </c>
      <c r="C29" t="s">
        <v>12</v>
      </c>
      <c r="E29" s="2">
        <v>8</v>
      </c>
      <c r="F29" s="3">
        <v>16</v>
      </c>
      <c r="G29" s="1" t="s">
        <v>31</v>
      </c>
      <c r="H29" s="3">
        <f>41222/1024</f>
        <v>40.255859375</v>
      </c>
      <c r="I29">
        <v>1</v>
      </c>
      <c r="J29">
        <v>3</v>
      </c>
    </row>
    <row r="30" spans="1:10" x14ac:dyDescent="0.2">
      <c r="A30" s="1" t="s">
        <v>46</v>
      </c>
      <c r="B30" t="s">
        <v>47</v>
      </c>
      <c r="C30" t="s">
        <v>12</v>
      </c>
      <c r="E30" s="2">
        <v>2</v>
      </c>
      <c r="F30" s="3">
        <v>4</v>
      </c>
      <c r="G30" s="1" t="s">
        <v>32</v>
      </c>
      <c r="H30" s="3">
        <f>154191/1024</f>
        <v>150.5771484375</v>
      </c>
      <c r="I30">
        <v>1</v>
      </c>
      <c r="J30">
        <v>3</v>
      </c>
    </row>
    <row r="31" spans="1:10" x14ac:dyDescent="0.2">
      <c r="A31" s="1" t="s">
        <v>48</v>
      </c>
      <c r="B31" t="s">
        <v>49</v>
      </c>
      <c r="C31" t="s">
        <v>12</v>
      </c>
      <c r="D31" t="s">
        <v>50</v>
      </c>
      <c r="E31" s="2"/>
      <c r="F31" s="3"/>
      <c r="G31" s="1"/>
      <c r="H31" s="3">
        <f>SUM(H2:H13)/I31</f>
        <v>174.388916015625</v>
      </c>
      <c r="I31">
        <v>12</v>
      </c>
    </row>
    <row r="32" spans="1:10" x14ac:dyDescent="0.2">
      <c r="A32" t="s">
        <v>33</v>
      </c>
      <c r="B32" t="s">
        <v>33</v>
      </c>
      <c r="C32" t="s">
        <v>12</v>
      </c>
      <c r="H32">
        <v>1000</v>
      </c>
      <c r="I32">
        <v>2</v>
      </c>
      <c r="J32">
        <v>730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Giri Rahayu</cp:lastModifiedBy>
  <dcterms:created xsi:type="dcterms:W3CDTF">2026-07-27T08:12:14Z</dcterms:created>
  <dcterms:modified xsi:type="dcterms:W3CDTF">2026-08-04T09:29:15Z</dcterms:modified>
</cp:coreProperties>
</file>